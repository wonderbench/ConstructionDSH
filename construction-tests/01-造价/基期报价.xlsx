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基期报价" sheetId="1" r:id="rId1"/>
  </sheets>
  <calcPr calcId="124519" fullCalcOnLoad="1"/>
</workbook>
</file>

<file path=xl/sharedStrings.xml><?xml version="1.0" encoding="utf-8"?>
<sst xmlns="http://schemas.openxmlformats.org/spreadsheetml/2006/main" count="38" uniqueCount="31">
  <si>
    <t>序号</t>
  </si>
  <si>
    <t>项目编码</t>
  </si>
  <si>
    <t>项目名称</t>
  </si>
  <si>
    <t>单位</t>
  </si>
  <si>
    <t>工程量</t>
  </si>
  <si>
    <t>基期综合单价(元)</t>
  </si>
  <si>
    <t>合价(元)</t>
  </si>
  <si>
    <t>010503001001</t>
  </si>
  <si>
    <t>矩形柱</t>
  </si>
  <si>
    <t>m³</t>
  </si>
  <si>
    <t>010503002001</t>
  </si>
  <si>
    <t>异形梁</t>
  </si>
  <si>
    <t>010504001001</t>
  </si>
  <si>
    <t>直形墙</t>
  </si>
  <si>
    <t>010505001001</t>
  </si>
  <si>
    <t>有梁板</t>
  </si>
  <si>
    <t>010515001001</t>
  </si>
  <si>
    <t>现浇构件钢筋HRB400</t>
  </si>
  <si>
    <t>t</t>
  </si>
  <si>
    <t>010515001002</t>
  </si>
  <si>
    <t>现浇构件钢筋HPB300</t>
  </si>
  <si>
    <t>011201001001</t>
  </si>
  <si>
    <t>墙面一般抹灰</t>
  </si>
  <si>
    <t>㎡</t>
  </si>
  <si>
    <t>011201001002</t>
  </si>
  <si>
    <t>柱面一般抹灰</t>
  </si>
  <si>
    <t>010802003001</t>
  </si>
  <si>
    <t>钢筋网片</t>
  </si>
  <si>
    <t>011702001001</t>
  </si>
  <si>
    <t>矩形柱模板</t>
  </si>
  <si>
    <t>合计</t>
  </si>
</sst>
</file>

<file path=xl/styles.xml><?xml version="1.0" encoding="utf-8"?>
<styleSheet xmlns="http://schemas.openxmlformats.org/spreadsheetml/2006/main">
  <numFmts count="2">
    <numFmt numFmtId="164" formatCode="@"/>
    <numFmt numFmtId="165" formatCode="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cols>
    <col min="1" max="1" width="6.7109375" customWidth="1"/>
    <col min="2" max="2" width="16.7109375" customWidth="1"/>
    <col min="3" max="3" width="20.7109375" customWidth="1"/>
    <col min="4" max="4" width="8.7109375" customWidth="1"/>
    <col min="5" max="7" width="14.7109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s="1" t="s">
        <v>7</v>
      </c>
      <c r="C2" t="s">
        <v>8</v>
      </c>
      <c r="D2" t="s">
        <v>9</v>
      </c>
      <c r="E2">
        <v>12.5</v>
      </c>
      <c r="F2" s="2">
        <v>780</v>
      </c>
      <c r="G2" s="2">
        <f>E2*F2</f>
        <v>7800.0</v>
      </c>
    </row>
    <row r="3" spans="1:7">
      <c r="A3">
        <v>2</v>
      </c>
      <c r="B3" s="1" t="s">
        <v>10</v>
      </c>
      <c r="C3" t="s">
        <v>11</v>
      </c>
      <c r="D3" t="s">
        <v>9</v>
      </c>
      <c r="E3">
        <v>8.4</v>
      </c>
      <c r="F3" s="2">
        <v>905</v>
      </c>
      <c r="G3" s="2">
        <f>E3*F3</f>
        <v>7602.0</v>
      </c>
    </row>
    <row r="4" spans="1:7">
      <c r="A4">
        <v>3</v>
      </c>
      <c r="B4" s="1" t="s">
        <v>12</v>
      </c>
      <c r="C4" t="s">
        <v>13</v>
      </c>
      <c r="D4" t="s">
        <v>9</v>
      </c>
      <c r="E4">
        <v>22.6</v>
      </c>
      <c r="F4" s="2">
        <v>815</v>
      </c>
      <c r="G4" s="2">
        <f>E4*F4</f>
        <v>18419.0</v>
      </c>
    </row>
    <row r="5" spans="1:7">
      <c r="A5">
        <v>4</v>
      </c>
      <c r="B5" s="1" t="s">
        <v>14</v>
      </c>
      <c r="C5" t="s">
        <v>15</v>
      </c>
      <c r="D5" t="s">
        <v>9</v>
      </c>
      <c r="E5">
        <v>35.8</v>
      </c>
      <c r="F5" s="2">
        <v>760</v>
      </c>
      <c r="G5" s="2">
        <f>E5*F5</f>
        <v>27208.0</v>
      </c>
    </row>
    <row r="6" spans="1:7">
      <c r="A6">
        <v>5</v>
      </c>
      <c r="B6" s="1" t="s">
        <v>16</v>
      </c>
      <c r="C6" t="s">
        <v>17</v>
      </c>
      <c r="D6" t="s">
        <v>18</v>
      </c>
      <c r="E6">
        <v>3.2</v>
      </c>
      <c r="F6" s="2">
        <v>5200</v>
      </c>
      <c r="G6" s="2">
        <f>E6*F6</f>
        <v>16640.0</v>
      </c>
    </row>
    <row r="7" spans="1:7">
      <c r="A7">
        <v>6</v>
      </c>
      <c r="B7" s="1" t="s">
        <v>19</v>
      </c>
      <c r="C7" t="s">
        <v>20</v>
      </c>
      <c r="D7" t="s">
        <v>18</v>
      </c>
      <c r="E7">
        <v>1.5</v>
      </c>
      <c r="F7" s="2">
        <v>5560</v>
      </c>
      <c r="G7" s="2">
        <f>E7*F7</f>
        <v>8340.0</v>
      </c>
    </row>
    <row r="8" spans="1:7">
      <c r="A8">
        <v>7</v>
      </c>
      <c r="B8" s="1" t="s">
        <v>21</v>
      </c>
      <c r="C8" t="s">
        <v>22</v>
      </c>
      <c r="D8" t="s">
        <v>23</v>
      </c>
      <c r="E8">
        <v>86</v>
      </c>
      <c r="F8" s="2">
        <v>52</v>
      </c>
      <c r="G8" s="2">
        <f>E8*F8</f>
        <v>4472</v>
      </c>
    </row>
    <row r="9" spans="1:7">
      <c r="A9">
        <v>8</v>
      </c>
      <c r="B9" s="1" t="s">
        <v>24</v>
      </c>
      <c r="C9" t="s">
        <v>25</v>
      </c>
      <c r="D9" t="s">
        <v>23</v>
      </c>
      <c r="E9">
        <v>24.5</v>
      </c>
      <c r="F9" s="2">
        <v>58</v>
      </c>
      <c r="G9" s="2">
        <f>E9*F9</f>
        <v>1421.0</v>
      </c>
    </row>
    <row r="10" spans="1:7">
      <c r="A10">
        <v>9</v>
      </c>
      <c r="B10" s="1" t="s">
        <v>26</v>
      </c>
      <c r="C10" t="s">
        <v>27</v>
      </c>
      <c r="D10" t="s">
        <v>18</v>
      </c>
      <c r="E10">
        <v>0.85</v>
      </c>
      <c r="F10" s="2">
        <v>5490</v>
      </c>
      <c r="G10" s="2">
        <f>E10*F10</f>
        <v>4666.5</v>
      </c>
    </row>
    <row r="11" spans="1:7">
      <c r="A11">
        <v>10</v>
      </c>
      <c r="B11" s="1" t="s">
        <v>28</v>
      </c>
      <c r="C11" t="s">
        <v>29</v>
      </c>
      <c r="D11" t="s">
        <v>23</v>
      </c>
      <c r="E11">
        <v>96</v>
      </c>
      <c r="F11" s="2">
        <v>70</v>
      </c>
      <c r="G11" s="2">
        <f>E11*F11</f>
        <v>6720</v>
      </c>
    </row>
    <row r="12" spans="1:7">
      <c r="C12" t="s">
        <v>30</v>
      </c>
      <c r="G12" s="2">
        <f>SUM(G2:G11)</f>
        <v>103288.5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基期报价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2026-09-22T03:16:45Z</dcterms:created>
  <dcterms:modified xsi:type="dcterms:W3CDTF">2026-09-22T03:16:45Z</dcterms:modified>
</cp:coreProperties>
</file>